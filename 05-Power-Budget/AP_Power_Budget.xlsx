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wer Budget" sheetId="1" r:id="rId4"/>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8">
      <text>
        <t xml:space="preserve">For inductive loads (e.g., motors, solenoids) this is often called "stall current" on the data sheet</t>
      </text>
    </comment>
  </commentList>
</comments>
</file>

<file path=xl/sharedStrings.xml><?xml version="1.0" encoding="utf-8"?>
<sst xmlns="http://schemas.openxmlformats.org/spreadsheetml/2006/main" count="92" uniqueCount="52">
  <si>
    <t>Power Budget Example</t>
  </si>
  <si>
    <t>Team Number:</t>
  </si>
  <si>
    <t>Team 206</t>
  </si>
  <si>
    <t>Project Name:</t>
  </si>
  <si>
    <t>Photoresistor Subsystem</t>
  </si>
  <si>
    <t>Team Member Names:</t>
  </si>
  <si>
    <t>Adrian, Zane, Mihir</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</si>
  <si>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</si>
  <si>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</si>
  <si>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</si>
  <si>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</si>
  <si>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</si>
  <si>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</si>
  <si>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</si>
  <si>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</si>
  <si>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</si>
  <si>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</si>
  <si>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PIC18F57Q43 Curiosity Nano</t>
  </si>
  <si>
    <t>DM164150</t>
  </si>
  <si>
    <t xml:space="preserve"> +1.8V - 5.1V</t>
  </si>
  <si>
    <t>mA</t>
  </si>
  <si>
    <t>Photoresistor</t>
  </si>
  <si>
    <t>NSL-5162</t>
  </si>
  <si>
    <t xml:space="preserve"> +5V</t>
  </si>
  <si>
    <t>Op-Amp</t>
  </si>
  <si>
    <t>MCP6004-I/P</t>
  </si>
  <si>
    <t xml:space="preserve"> +1.8V - 6V</t>
  </si>
  <si>
    <t>B. Assign each major component above to ONE power rail below. Try to minimize the number of different power rails in the design. 
Add additional power rails or change the power rail voltages if needed.</t>
  </si>
  <si>
    <t xml:space="preserve"> +5V Power Rail</t>
  </si>
  <si>
    <t xml:space="preserve">Subtotal </t>
  </si>
  <si>
    <t>Safety Margin</t>
  </si>
  <si>
    <t>Total Current Required on +5V Rail</t>
  </si>
  <si>
    <t>c2. Regulator or Source Choice</t>
  </si>
  <si>
    <t xml:space="preserve"> +5V Regulator</t>
  </si>
  <si>
    <t>LM7805T</t>
  </si>
  <si>
    <t xml:space="preserve"> 5V - 18V</t>
  </si>
  <si>
    <t xml:space="preserve"> 5V</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</si>
  <si>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</si>
  <si>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</si>
  <si>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</si>
  <si>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</si>
  <si>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</si>
  <si>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</si>
  <si>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</si>
  <si>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L6R36-090</t>
  </si>
  <si>
    <t>100-240VAC</t>
  </si>
  <si>
    <t xml:space="preserve"> 9V</t>
  </si>
  <si>
    <t>Power Rails Connected to External Power Source 1</t>
  </si>
  <si>
    <t>Total Remaining Current Available on External Power Source 1</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</si>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</sst>
</file>

<file path=xl/styles.xml><?xml version="1.0" encoding="utf-8"?>
<styleSheet xmlns="http://schemas.openxmlformats.org/spreadsheetml/2006/main" xmlns:x14ac="http://schemas.microsoft.com/office/spreadsheetml/2009/9/ac" xmlns:mc="http://schemas.openxmlformats.org/markup-compatibility/2006">
  <fonts count="16">
    <font>
      <sz val="12.0"/>
      <color rgb="FF000000"/>
      <name val="Calibri"/>
      <scheme val="minor"/>
    </font>
    <font>
      <b/>
      <sz val="24.0"/>
      <color rgb="FF000000"/>
      <name val="Calibri"/>
    </font>
    <font>
      <b/>
      <sz val="12.0"/>
      <color theme="1"/>
      <name val="Calibri"/>
    </font>
    <font>
      <sz val="12.0"/>
      <color theme="1"/>
      <name val="Calibri"/>
    </font>
    <font>
      <b/>
      <sz val="12.0"/>
      <color rgb="FF000000"/>
      <name val="Calibri"/>
    </font>
    <font>
      <b/>
      <sz val="12.0"/>
      <color theme="1"/>
      <name val="Arial"/>
    </font>
    <font>
      <b/>
      <sz val="12.0"/>
      <color rgb="FF000000"/>
      <name val="Arial"/>
    </font>
    <font>
      <b/>
      <i/>
      <sz val="12.0"/>
      <color rgb="FF000000"/>
      <name val="Arial"/>
    </font>
    <font/>
    <font>
      <sz val="12.0"/>
      <color rgb="FF000000"/>
      <name val="Calibri"/>
    </font>
    <font>
      <sz val="12.0"/>
      <color rgb="FF000000"/>
      <name val="Arial"/>
    </font>
    <font>
      <b/>
      <i/>
      <sz val="12.0"/>
      <color theme="1"/>
      <name val="Arial"/>
    </font>
    <font>
      <sz val="12.0"/>
      <color theme="1"/>
      <name val="Arial"/>
    </font>
    <font>
      <b/>
      <i/>
      <sz val="12.0"/>
      <color theme="1"/>
      <name val="Calibri"/>
    </font>
    <font>
      <sz val="11.0"/>
      <color rgb="FF0F1111"/>
      <name val="Amazon Ember"/>
    </font>
    <font>
      <color rgb="FF000000"/>
      <name val="Arial"/>
    </font>
  </fonts>
  <fills count="5">
    <fill>
      <patternFill patternType="none"/>
    </fill>
    <fill>
      <patternFill patternType="lightGray"/>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left style="thin">
        <color rgb="FF000000"/>
      </left>
      <right style="thin">
        <color rgb="FF000000"/>
      </right>
      <bottom style="thin">
        <color rgb="FF000000"/>
      </bottom>
    </border>
    <border>
      <left style="thin">
        <color rgb="FF000000"/>
      </left>
    </border>
    <border>
      <left style="thin">
        <color rgb="FF000000"/>
      </left>
      <right style="thin">
        <color rgb="FF000000"/>
      </right>
    </border>
    <border>
      <left style="thin">
        <color rgb="FF000000"/>
      </left>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horizontal="center" shrinkToFit="0" wrapText="0"/>
    </xf>
    <xf borderId="1" fillId="0" fontId="2" numFmtId="0" xfId="0" applyAlignment="1" applyBorder="1" applyFont="1">
      <alignment vertical="bottom"/>
    </xf>
    <xf borderId="1" fillId="0" fontId="3" numFmtId="0" xfId="0" applyAlignment="1" applyBorder="1" applyFont="1">
      <alignment vertical="bottom"/>
    </xf>
    <xf borderId="0" fillId="0" fontId="4" numFmtId="0" xfId="0" applyAlignment="1" applyFont="1">
      <alignment horizontal="center" shrinkToFit="0" wrapText="0"/>
    </xf>
    <xf borderId="1" fillId="0" fontId="5" numFmtId="0" xfId="0" applyAlignment="1" applyBorder="1" applyFont="1">
      <alignment vertical="bottom"/>
    </xf>
    <xf borderId="0" fillId="0" fontId="4" numFmtId="0" xfId="0" applyAlignment="1" applyFont="1">
      <alignment shrinkToFit="0" wrapText="0"/>
    </xf>
    <xf borderId="1" fillId="0" fontId="2" numFmtId="0" xfId="0" applyAlignment="1" applyBorder="1" applyFont="1">
      <alignment horizontal="left" vertical="bottom"/>
    </xf>
    <xf borderId="0" fillId="0" fontId="6" numFmtId="0" xfId="0" applyAlignment="1" applyFont="1">
      <alignment shrinkToFit="0" wrapText="0"/>
    </xf>
    <xf borderId="2" fillId="2" fontId="7" numFmtId="0" xfId="0" applyAlignment="1" applyBorder="1" applyFill="1" applyFont="1">
      <alignment shrinkToFit="0" wrapText="1"/>
    </xf>
    <xf borderId="3" fillId="0" fontId="8" numFmtId="0" xfId="0" applyBorder="1" applyFont="1"/>
    <xf borderId="4" fillId="0" fontId="8" numFmtId="0" xfId="0" applyBorder="1" applyFont="1"/>
    <xf borderId="2" fillId="3" fontId="6" numFmtId="0" xfId="0" applyAlignment="1" applyBorder="1" applyFill="1" applyFont="1">
      <alignment horizontal="center" shrinkToFit="0" wrapText="0"/>
    </xf>
    <xf borderId="5" fillId="3" fontId="4" numFmtId="0" xfId="0" applyAlignment="1" applyBorder="1" applyFont="1">
      <alignment horizontal="center" shrinkToFit="0" wrapText="0"/>
    </xf>
    <xf borderId="5" fillId="3" fontId="6" numFmtId="0" xfId="0" applyAlignment="1" applyBorder="1" applyFont="1">
      <alignment horizontal="center" shrinkToFit="0" wrapText="0"/>
    </xf>
    <xf borderId="6" fillId="3" fontId="6" numFmtId="0" xfId="0" applyAlignment="1" applyBorder="1" applyFont="1">
      <alignment horizontal="center" shrinkToFit="0" wrapText="0"/>
    </xf>
    <xf borderId="7" fillId="3" fontId="6" numFmtId="0" xfId="0" applyAlignment="1" applyBorder="1" applyFont="1">
      <alignment horizontal="center" shrinkToFit="0" wrapText="0"/>
    </xf>
    <xf borderId="8" fillId="0" fontId="9" numFmtId="0" xfId="0" applyAlignment="1" applyBorder="1" applyFont="1">
      <alignment shrinkToFit="0" wrapText="0"/>
    </xf>
    <xf borderId="0" fillId="0" fontId="3" numFmtId="0" xfId="0" applyAlignment="1" applyFont="1">
      <alignment vertical="bottom"/>
    </xf>
    <xf borderId="0" fillId="0" fontId="3" numFmtId="0" xfId="0" applyAlignment="1" applyFont="1">
      <alignment horizontal="center" vertical="bottom"/>
    </xf>
    <xf borderId="0" fillId="0" fontId="3" numFmtId="0" xfId="0" applyAlignment="1" applyFont="1">
      <alignment horizontal="right" vertical="bottom"/>
    </xf>
    <xf borderId="9" fillId="0" fontId="3" numFmtId="0" xfId="0" applyAlignment="1" applyBorder="1" applyFont="1">
      <alignment horizontal="right" vertical="bottom"/>
    </xf>
    <xf borderId="9" fillId="0" fontId="10" numFmtId="0" xfId="0" applyAlignment="1" applyBorder="1" applyFont="1">
      <alignment shrinkToFit="0" wrapText="0"/>
    </xf>
    <xf borderId="0" fillId="0" fontId="10" numFmtId="0" xfId="0" applyAlignment="1" applyFont="1">
      <alignment shrinkToFit="0" wrapText="0"/>
    </xf>
    <xf borderId="0" fillId="0" fontId="10" numFmtId="49" xfId="0" applyAlignment="1" applyFont="1" applyNumberFormat="1">
      <alignment horizontal="center" shrinkToFit="0" wrapText="0"/>
    </xf>
    <xf borderId="0" fillId="0" fontId="10" numFmtId="0" xfId="0" applyAlignment="1" applyFont="1">
      <alignment horizontal="center" shrinkToFit="0" wrapText="0"/>
    </xf>
    <xf borderId="9" fillId="0" fontId="9" numFmtId="0" xfId="0" applyAlignment="1" applyBorder="1" applyFont="1">
      <alignment shrinkToFit="0" wrapText="0"/>
    </xf>
    <xf borderId="0" fillId="0" fontId="9" numFmtId="0" xfId="0" applyAlignment="1" applyFont="1">
      <alignment shrinkToFit="0" wrapText="0"/>
    </xf>
    <xf borderId="0" fillId="0" fontId="9" numFmtId="0" xfId="0" applyAlignment="1" applyFont="1">
      <alignment horizontal="center" shrinkToFit="0" wrapText="0"/>
    </xf>
    <xf borderId="8" fillId="0" fontId="4" numFmtId="0" xfId="0" applyAlignment="1" applyBorder="1" applyFont="1">
      <alignment shrinkToFit="0" wrapText="0"/>
    </xf>
    <xf borderId="0" fillId="0" fontId="6" numFmtId="0" xfId="0" applyAlignment="1" applyFont="1">
      <alignment horizontal="center" shrinkToFit="0" wrapText="0"/>
    </xf>
    <xf borderId="9" fillId="0" fontId="4" numFmtId="0" xfId="0" applyAlignment="1" applyBorder="1" applyFont="1">
      <alignment shrinkToFit="0" wrapText="0"/>
    </xf>
    <xf borderId="10" fillId="3" fontId="11" numFmtId="0" xfId="0" applyAlignment="1" applyBorder="1" applyFont="1">
      <alignment vertical="bottom"/>
    </xf>
    <xf borderId="5" fillId="3" fontId="2" numFmtId="0" xfId="0" applyAlignment="1" applyBorder="1" applyFont="1">
      <alignment horizontal="center" vertical="bottom"/>
    </xf>
    <xf borderId="5" fillId="3" fontId="5" numFmtId="0" xfId="0" applyAlignment="1" applyBorder="1" applyFont="1">
      <alignment horizontal="center" vertical="bottom"/>
    </xf>
    <xf borderId="6" fillId="3" fontId="5" numFmtId="0" xfId="0" applyAlignment="1" applyBorder="1" applyFont="1">
      <alignment horizontal="center" vertical="bottom"/>
    </xf>
    <xf borderId="1" fillId="3" fontId="5" numFmtId="0" xfId="0" applyAlignment="1" applyBorder="1" applyFont="1">
      <alignment horizontal="center" vertical="bottom"/>
    </xf>
    <xf borderId="8" fillId="0" fontId="3" numFmtId="0" xfId="0" applyAlignment="1" applyBorder="1" applyFont="1">
      <alignment vertical="bottom"/>
    </xf>
    <xf borderId="9" fillId="0" fontId="12" numFmtId="0" xfId="0" applyAlignment="1" applyBorder="1" applyFont="1">
      <alignment vertical="bottom"/>
    </xf>
    <xf borderId="0" fillId="0" fontId="3" numFmtId="0" xfId="0" applyAlignment="1" applyFont="1">
      <alignment vertical="bottom"/>
    </xf>
    <xf borderId="0" fillId="0" fontId="13" numFmtId="0" xfId="0" applyAlignment="1" applyFont="1">
      <alignment horizontal="right" vertical="bottom"/>
    </xf>
    <xf borderId="9" fillId="0" fontId="3" numFmtId="9" xfId="0" applyAlignment="1" applyBorder="1" applyFont="1" applyNumberFormat="1">
      <alignment horizontal="right" vertical="bottom"/>
    </xf>
    <xf borderId="9" fillId="0" fontId="3" numFmtId="9" xfId="0" applyAlignment="1" applyBorder="1" applyFont="1" applyNumberFormat="1">
      <alignment vertical="bottom"/>
    </xf>
    <xf borderId="0" fillId="0" fontId="11" numFmtId="0" xfId="0" applyAlignment="1" applyFont="1">
      <alignment horizontal="right" vertical="bottom"/>
    </xf>
    <xf borderId="9" fillId="0" fontId="3" numFmtId="0" xfId="0" applyAlignment="1" applyBorder="1" applyFont="1">
      <alignment vertical="bottom"/>
    </xf>
    <xf borderId="8" fillId="0" fontId="11" numFmtId="0" xfId="0" applyAlignment="1" applyBorder="1" applyFont="1">
      <alignment vertical="bottom"/>
    </xf>
    <xf borderId="0" fillId="0" fontId="12" numFmtId="0" xfId="0" applyAlignment="1" applyFont="1">
      <alignment vertical="bottom"/>
    </xf>
    <xf borderId="0" fillId="0" fontId="12" numFmtId="0" xfId="0" applyAlignment="1" applyFont="1">
      <alignment horizontal="center" vertical="bottom"/>
    </xf>
    <xf borderId="0" fillId="0" fontId="12" numFmtId="0" xfId="0" applyAlignment="1" applyFont="1">
      <alignment horizontal="right" vertical="bottom"/>
    </xf>
    <xf borderId="11" fillId="0" fontId="3" numFmtId="0" xfId="0" applyAlignment="1" applyBorder="1" applyFont="1">
      <alignment vertical="bottom"/>
    </xf>
    <xf borderId="12" fillId="0" fontId="11" numFmtId="49" xfId="0" applyAlignment="1" applyBorder="1" applyFont="1" applyNumberFormat="1">
      <alignment horizontal="right" vertical="bottom"/>
    </xf>
    <xf borderId="12" fillId="0" fontId="8" numFmtId="0" xfId="0" applyBorder="1" applyFont="1"/>
    <xf borderId="11" fillId="0" fontId="7" numFmtId="0" xfId="0" applyAlignment="1" applyBorder="1" applyFont="1">
      <alignment shrinkToFit="0" wrapText="1"/>
    </xf>
    <xf borderId="13" fillId="0" fontId="8" numFmtId="0" xfId="0" applyBorder="1" applyFont="1"/>
    <xf borderId="10" fillId="3" fontId="7" numFmtId="0" xfId="0" applyAlignment="1" applyBorder="1" applyFont="1">
      <alignment shrinkToFit="0" wrapText="0"/>
    </xf>
    <xf borderId="5" fillId="3" fontId="6" numFmtId="0" xfId="0" applyAlignment="1" applyBorder="1" applyFont="1">
      <alignment horizontal="center" shrinkToFit="0" wrapText="1"/>
    </xf>
    <xf borderId="1" fillId="3" fontId="6" numFmtId="0" xfId="0" applyAlignment="1" applyBorder="1" applyFont="1">
      <alignment horizontal="center" shrinkToFit="0" wrapText="0"/>
    </xf>
    <xf borderId="8" fillId="0" fontId="6" numFmtId="0" xfId="0" applyAlignment="1" applyBorder="1" applyFont="1">
      <alignment horizontal="left" shrinkToFit="0" wrapText="0"/>
    </xf>
    <xf borderId="0" fillId="4" fontId="14" numFmtId="0" xfId="0" applyAlignment="1" applyFill="1" applyFont="1">
      <alignment vertical="bottom"/>
    </xf>
    <xf borderId="9" fillId="0" fontId="12" numFmtId="0" xfId="0" applyAlignment="1" applyBorder="1" applyFont="1">
      <alignment horizontal="right" vertical="bottom"/>
    </xf>
    <xf borderId="14" fillId="0" fontId="10" numFmtId="0" xfId="0" applyAlignment="1" applyBorder="1" applyFont="1">
      <alignment horizontal="left" shrinkToFit="0" wrapText="0"/>
    </xf>
    <xf borderId="8" fillId="0" fontId="6" numFmtId="0" xfId="0" applyAlignment="1" applyBorder="1" applyFont="1">
      <alignment horizontal="center" shrinkToFit="0" wrapText="0"/>
    </xf>
    <xf borderId="0" fillId="0" fontId="10" numFmtId="0" xfId="0" applyAlignment="1" applyFont="1">
      <alignment horizontal="left" shrinkToFit="0" wrapText="0"/>
    </xf>
    <xf borderId="0" fillId="0" fontId="10" numFmtId="0" xfId="0" applyAlignment="1" applyFont="1">
      <alignment horizontal="right" shrinkToFit="0" wrapText="0"/>
    </xf>
    <xf borderId="9" fillId="0" fontId="9" numFmtId="0" xfId="0" applyAlignment="1" applyBorder="1" applyFont="1">
      <alignment horizontal="right" shrinkToFit="0" wrapText="0"/>
    </xf>
    <xf borderId="14" fillId="0" fontId="10" numFmtId="0" xfId="0" applyAlignment="1" applyBorder="1" applyFont="1">
      <alignment shrinkToFit="0" wrapText="0"/>
    </xf>
    <xf borderId="8" fillId="0" fontId="6" numFmtId="0" xfId="0" applyAlignment="1" applyBorder="1" applyFont="1">
      <alignment horizontal="left" shrinkToFit="0" vertical="center" wrapText="1"/>
    </xf>
    <xf borderId="8" fillId="0" fontId="8" numFmtId="0" xfId="0" applyBorder="1" applyFont="1"/>
    <xf borderId="0" fillId="0" fontId="7" numFmtId="49" xfId="0" applyAlignment="1" applyFont="1" applyNumberFormat="1">
      <alignment horizontal="right" shrinkToFit="0" wrapText="0"/>
    </xf>
    <xf borderId="9" fillId="0" fontId="10" numFmtId="0" xfId="0" applyAlignment="1" applyBorder="1" applyFont="1">
      <alignment horizontal="right" shrinkToFit="0" wrapText="0"/>
    </xf>
    <xf borderId="0" fillId="2" fontId="7" numFmtId="0" xfId="0" applyAlignment="1" applyFont="1">
      <alignment shrinkToFit="0" wrapText="0"/>
    </xf>
    <xf borderId="0" fillId="2" fontId="9" numFmtId="0" xfId="0" applyAlignment="1" applyFont="1">
      <alignment shrinkToFit="0" wrapText="0"/>
    </xf>
    <xf borderId="0" fillId="0" fontId="10" numFmtId="0" xfId="0" applyAlignment="1" applyFont="1">
      <alignment shrinkToFit="0" wrapText="1"/>
    </xf>
    <xf borderId="0" fillId="4" fontId="15" numFmtId="0" xfId="0" applyAlignment="1" applyFont="1">
      <alignment horizontal="left" shrinkToFit="0" wrapText="1"/>
    </xf>
  </cellXfs>
  <cellStyles count="1">
    <cellStyle xfId="0" name="Normal" builtinId="0"/>
  </cellStyles>
  <dxfs count="1">
    <dxf>
      <font>
        <color rgb="FF000000"/>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26.11"/>
    <col customWidth="1" min="2" max="2" width="23.11"/>
    <col customWidth="1" min="3" max="3" width="13.44"/>
    <col customWidth="1" min="4" max="4" width="11.44"/>
    <col customWidth="1" min="5" max="5" width="6.89"/>
    <col customWidth="1" min="6" max="6" width="12.33"/>
    <col customWidth="1" min="7" max="7" width="12.67"/>
    <col customWidth="1" min="8" max="8" width="9.0"/>
    <col customWidth="1" min="9" max="26" width="13.44"/>
  </cols>
  <sheetData>
    <row r="1" ht="30.0" customHeight="1">
      <c r="A1" s="1" t="s">
        <v>0</v>
      </c>
    </row>
    <row r="2" ht="15.0" customHeight="1">
      <c r="A2" s="2" t="s">
        <v>1</v>
      </c>
      <c r="B2" s="3" t="s">
        <v>2</v>
      </c>
      <c r="D2" s="4"/>
      <c r="E2" s="4"/>
    </row>
    <row r="3" ht="15.0" customHeight="1">
      <c r="A3" s="5" t="s">
        <v>3</v>
      </c>
      <c r="B3" s="2" t="s">
        <v>4</v>
      </c>
      <c r="C3" s="6"/>
      <c r="D3" s="4"/>
      <c r="E3" s="4"/>
      <c r="F3" s="6"/>
      <c r="G3" s="6"/>
      <c r="H3" s="6"/>
    </row>
    <row r="4" ht="15.0" customHeight="1">
      <c r="A4" s="5" t="s">
        <v>5</v>
      </c>
      <c r="B4" s="2" t="s">
        <v>6</v>
      </c>
      <c r="C4" s="6"/>
      <c r="D4" s="4"/>
      <c r="E4" s="4"/>
      <c r="F4" s="6"/>
      <c r="G4" s="6"/>
      <c r="H4" s="6"/>
    </row>
    <row r="5" ht="15.0" customHeight="1">
      <c r="A5" s="5" t="s">
        <v>7</v>
      </c>
      <c r="B5" s="7">
        <v>1.0</v>
      </c>
      <c r="C5" s="6"/>
      <c r="D5" s="4"/>
      <c r="E5" s="4"/>
      <c r="F5" s="6"/>
      <c r="G5" s="6"/>
      <c r="H5" s="6"/>
    </row>
    <row r="6" ht="15.0" customHeight="1">
      <c r="A6" s="8"/>
      <c r="B6" s="6"/>
      <c r="C6" s="6"/>
      <c r="D6" s="4"/>
      <c r="E6" s="4"/>
      <c r="F6" s="6"/>
      <c r="G6" s="6"/>
      <c r="H6" s="6"/>
    </row>
    <row r="7" ht="15.0" customHeight="1">
      <c r="A7" s="9" t="s">
        <v>8</v>
      </c>
      <c r="B7" s="10"/>
      <c r="C7" s="10"/>
      <c r="D7" s="10"/>
      <c r="E7" s="10"/>
      <c r="F7" s="10"/>
      <c r="G7" s="10"/>
      <c r="H7" s="11"/>
    </row>
    <row r="8" ht="15.0" customHeight="1">
      <c r="A8" s="12" t="s">
        <v>9</v>
      </c>
      <c r="B8" s="13" t="s">
        <v>10</v>
      </c>
      <c r="C8" s="13" t="s">
        <v>11</v>
      </c>
      <c r="D8" s="14" t="s">
        <v>12</v>
      </c>
      <c r="E8" s="14" t="s">
        <v>13</v>
      </c>
      <c r="F8" s="15" t="s">
        <v>14</v>
      </c>
      <c r="G8" s="16" t="s">
        <v>15</v>
      </c>
      <c r="H8" s="16" t="s">
        <v>16</v>
      </c>
    </row>
    <row r="9" ht="15.0" customHeight="1">
      <c r="A9" s="17"/>
      <c r="B9" s="18" t="s">
        <v>17</v>
      </c>
      <c r="C9" s="18" t="s">
        <v>18</v>
      </c>
      <c r="D9" s="19" t="s">
        <v>19</v>
      </c>
      <c r="E9" s="19">
        <v>1.0</v>
      </c>
      <c r="F9" s="20">
        <v>100.0</v>
      </c>
      <c r="G9" s="21">
        <v>100.0</v>
      </c>
      <c r="H9" s="22" t="s">
        <v>20</v>
      </c>
    </row>
    <row r="10" ht="15.0" customHeight="1">
      <c r="A10" s="17"/>
      <c r="B10" s="18" t="s">
        <v>21</v>
      </c>
      <c r="C10" s="18" t="s">
        <v>22</v>
      </c>
      <c r="D10" s="19" t="s">
        <v>23</v>
      </c>
      <c r="E10" s="19">
        <v>1.0</v>
      </c>
      <c r="F10" s="20">
        <v>100.0</v>
      </c>
      <c r="G10" s="21">
        <f t="shared" ref="G10:G11" si="1">E10*F10</f>
        <v>100</v>
      </c>
      <c r="H10" s="22" t="s">
        <v>20</v>
      </c>
    </row>
    <row r="11" ht="15.0" customHeight="1">
      <c r="A11" s="17"/>
      <c r="B11" s="18" t="s">
        <v>24</v>
      </c>
      <c r="C11" s="18" t="s">
        <v>25</v>
      </c>
      <c r="D11" s="19" t="s">
        <v>26</v>
      </c>
      <c r="E11" s="19">
        <v>1.0</v>
      </c>
      <c r="F11" s="20">
        <v>0.1</v>
      </c>
      <c r="G11" s="21">
        <f t="shared" si="1"/>
        <v>0.1</v>
      </c>
      <c r="H11" s="22" t="s">
        <v>20</v>
      </c>
    </row>
    <row r="12" ht="15.0" customHeight="1">
      <c r="A12" s="17"/>
      <c r="B12" s="23"/>
      <c r="C12" s="23"/>
      <c r="D12" s="24"/>
      <c r="E12" s="25"/>
      <c r="F12" s="23"/>
      <c r="G12" s="26"/>
      <c r="H12" s="22"/>
    </row>
    <row r="13" ht="15.0" customHeight="1">
      <c r="A13" s="17"/>
      <c r="B13" s="27"/>
      <c r="C13" s="23"/>
      <c r="D13" s="25"/>
      <c r="E13" s="28"/>
      <c r="F13" s="27"/>
      <c r="G13" s="26"/>
      <c r="H13" s="22"/>
    </row>
    <row r="14" ht="15.0" customHeight="1">
      <c r="A14" s="17"/>
      <c r="B14" s="23"/>
      <c r="C14" s="27"/>
      <c r="D14" s="25"/>
      <c r="E14" s="28"/>
      <c r="F14" s="27"/>
      <c r="G14" s="26"/>
      <c r="H14" s="22"/>
    </row>
    <row r="15" ht="15.0" customHeight="1">
      <c r="A15" s="29"/>
      <c r="B15" s="8"/>
      <c r="C15" s="6"/>
      <c r="D15" s="30"/>
      <c r="E15" s="4"/>
      <c r="F15" s="6"/>
      <c r="G15" s="31"/>
      <c r="H15" s="31"/>
    </row>
    <row r="16" ht="15.0" customHeight="1">
      <c r="A16" s="9" t="s">
        <v>27</v>
      </c>
      <c r="B16" s="10"/>
      <c r="C16" s="10"/>
      <c r="D16" s="10"/>
      <c r="E16" s="10"/>
      <c r="F16" s="10"/>
      <c r="G16" s="10"/>
      <c r="H16" s="11"/>
    </row>
    <row r="17" ht="15.0" customHeight="1">
      <c r="A17" s="32" t="s">
        <v>28</v>
      </c>
      <c r="B17" s="33" t="s">
        <v>10</v>
      </c>
      <c r="C17" s="33" t="s">
        <v>11</v>
      </c>
      <c r="D17" s="34" t="s">
        <v>12</v>
      </c>
      <c r="E17" s="34" t="s">
        <v>13</v>
      </c>
      <c r="F17" s="35" t="s">
        <v>14</v>
      </c>
      <c r="G17" s="36" t="s">
        <v>15</v>
      </c>
      <c r="H17" s="36" t="s">
        <v>16</v>
      </c>
    </row>
    <row r="18" ht="15.0" customHeight="1">
      <c r="A18" s="37"/>
      <c r="B18" s="18" t="s">
        <v>17</v>
      </c>
      <c r="C18" s="18" t="s">
        <v>18</v>
      </c>
      <c r="D18" s="19" t="s">
        <v>19</v>
      </c>
      <c r="E18" s="19">
        <v>1.0</v>
      </c>
      <c r="F18" s="20">
        <v>100.0</v>
      </c>
      <c r="G18" s="21">
        <v>100.0</v>
      </c>
      <c r="H18" s="38" t="s">
        <v>20</v>
      </c>
    </row>
    <row r="19" ht="15.0" customHeight="1">
      <c r="A19" s="37"/>
      <c r="B19" s="18" t="s">
        <v>21</v>
      </c>
      <c r="C19" s="18" t="s">
        <v>22</v>
      </c>
      <c r="D19" s="19" t="s">
        <v>23</v>
      </c>
      <c r="E19" s="19">
        <v>1.0</v>
      </c>
      <c r="F19" s="20">
        <v>100.0</v>
      </c>
      <c r="G19" s="21">
        <f t="shared" ref="G19:G20" si="2">E19*F19</f>
        <v>100</v>
      </c>
      <c r="H19" s="38" t="s">
        <v>20</v>
      </c>
    </row>
    <row r="20" ht="15.0" customHeight="1">
      <c r="A20" s="37"/>
      <c r="B20" s="18" t="s">
        <v>24</v>
      </c>
      <c r="C20" s="18" t="s">
        <v>25</v>
      </c>
      <c r="D20" s="19" t="s">
        <v>26</v>
      </c>
      <c r="E20" s="19">
        <v>1.0</v>
      </c>
      <c r="F20" s="20">
        <v>0.1</v>
      </c>
      <c r="G20" s="21">
        <f t="shared" si="2"/>
        <v>0.1</v>
      </c>
      <c r="H20" s="38" t="s">
        <v>20</v>
      </c>
    </row>
    <row r="21" ht="15.0" customHeight="1">
      <c r="A21" s="37"/>
      <c r="B21" s="18"/>
      <c r="C21" s="18"/>
      <c r="D21" s="18"/>
      <c r="E21" s="18"/>
      <c r="F21" s="18"/>
      <c r="G21" s="21"/>
      <c r="H21" s="38"/>
    </row>
    <row r="22" ht="15.0" customHeight="1">
      <c r="A22" s="37"/>
      <c r="B22" s="39"/>
      <c r="C22" s="18"/>
      <c r="D22" s="18"/>
      <c r="E22" s="18"/>
      <c r="F22" s="18"/>
      <c r="G22" s="21"/>
      <c r="H22" s="38"/>
    </row>
    <row r="23" ht="15.0" customHeight="1">
      <c r="A23" s="37"/>
      <c r="B23" s="40" t="s">
        <v>29</v>
      </c>
      <c r="G23" s="21">
        <f>SUM(G18:G22)</f>
        <v>200.1</v>
      </c>
      <c r="H23" s="38" t="s">
        <v>20</v>
      </c>
    </row>
    <row r="24" ht="15.0" customHeight="1">
      <c r="A24" s="37"/>
      <c r="B24" s="40" t="s">
        <v>30</v>
      </c>
      <c r="G24" s="41">
        <v>0.25</v>
      </c>
      <c r="H24" s="42"/>
    </row>
    <row r="25" ht="15.0" customHeight="1">
      <c r="A25" s="37"/>
      <c r="B25" s="43" t="s">
        <v>31</v>
      </c>
      <c r="G25" s="21">
        <f>G23*(1+G24)</f>
        <v>250.125</v>
      </c>
      <c r="H25" s="38" t="s">
        <v>20</v>
      </c>
    </row>
    <row r="26" ht="15.0" customHeight="1">
      <c r="A26" s="37"/>
      <c r="B26" s="18"/>
      <c r="C26" s="18"/>
      <c r="D26" s="18"/>
      <c r="E26" s="18"/>
      <c r="F26" s="18"/>
      <c r="G26" s="44"/>
      <c r="H26" s="44"/>
    </row>
    <row r="27" ht="15.0" customHeight="1">
      <c r="A27" s="45" t="s">
        <v>32</v>
      </c>
      <c r="B27" s="46" t="s">
        <v>33</v>
      </c>
      <c r="C27" s="46" t="s">
        <v>34</v>
      </c>
      <c r="D27" s="47" t="s">
        <v>35</v>
      </c>
      <c r="E27" s="47" t="s">
        <v>36</v>
      </c>
      <c r="F27" s="48">
        <v>1500.0</v>
      </c>
      <c r="G27" s="21">
        <v>1500.0</v>
      </c>
      <c r="H27" s="38" t="s">
        <v>20</v>
      </c>
    </row>
    <row r="28" ht="15.0" customHeight="1">
      <c r="A28" s="49"/>
      <c r="B28" s="50" t="s">
        <v>37</v>
      </c>
      <c r="C28" s="51"/>
      <c r="D28" s="51"/>
      <c r="E28" s="51"/>
      <c r="F28" s="51"/>
      <c r="G28" s="21">
        <f>G27-G25</f>
        <v>1249.875</v>
      </c>
      <c r="H28" s="38" t="s">
        <v>20</v>
      </c>
    </row>
    <row r="29" ht="15.0" customHeight="1">
      <c r="A29" s="9" t="s">
        <v>38</v>
      </c>
      <c r="B29" s="10"/>
      <c r="C29" s="10"/>
      <c r="D29" s="10"/>
      <c r="E29" s="10"/>
      <c r="F29" s="10"/>
      <c r="G29" s="10"/>
      <c r="H29" s="11"/>
    </row>
    <row r="30" ht="15.0" customHeight="1">
      <c r="A30" s="52"/>
      <c r="B30" s="51"/>
      <c r="C30" s="51"/>
      <c r="D30" s="51"/>
      <c r="E30" s="51"/>
      <c r="F30" s="51"/>
      <c r="G30" s="51"/>
      <c r="H30" s="53"/>
    </row>
    <row r="31" ht="15.0" customHeight="1">
      <c r="A31" s="9" t="s">
        <v>39</v>
      </c>
      <c r="B31" s="10"/>
      <c r="C31" s="10"/>
      <c r="D31" s="10"/>
      <c r="E31" s="10"/>
      <c r="F31" s="10"/>
      <c r="G31" s="10"/>
      <c r="H31" s="11"/>
    </row>
    <row r="32" ht="15.0" customHeight="1">
      <c r="A32" s="54" t="s">
        <v>40</v>
      </c>
      <c r="B32" s="13" t="s">
        <v>10</v>
      </c>
      <c r="C32" s="13" t="s">
        <v>11</v>
      </c>
      <c r="D32" s="14" t="s">
        <v>12</v>
      </c>
      <c r="E32" s="55" t="s">
        <v>41</v>
      </c>
      <c r="F32" s="15" t="s">
        <v>14</v>
      </c>
      <c r="G32" s="56" t="s">
        <v>15</v>
      </c>
      <c r="H32" s="56" t="s">
        <v>16</v>
      </c>
    </row>
    <row r="33" ht="15.0" customHeight="1">
      <c r="A33" s="57" t="s">
        <v>42</v>
      </c>
      <c r="B33" s="46" t="s">
        <v>43</v>
      </c>
      <c r="C33" s="46" t="s">
        <v>44</v>
      </c>
      <c r="D33" s="58" t="s">
        <v>45</v>
      </c>
      <c r="E33" s="47" t="s">
        <v>46</v>
      </c>
      <c r="F33" s="48">
        <v>3000.0</v>
      </c>
      <c r="G33" s="59">
        <v>3000.0</v>
      </c>
      <c r="H33" s="60" t="s">
        <v>20</v>
      </c>
    </row>
    <row r="34" ht="15.0" customHeight="1">
      <c r="A34" s="61"/>
      <c r="B34" s="62"/>
      <c r="C34" s="62"/>
      <c r="D34" s="25"/>
      <c r="E34" s="25"/>
      <c r="F34" s="63"/>
      <c r="G34" s="64"/>
      <c r="H34" s="65"/>
    </row>
    <row r="35" ht="15.0" customHeight="1">
      <c r="A35" s="66" t="s">
        <v>47</v>
      </c>
      <c r="B35" s="62"/>
      <c r="C35" s="62"/>
      <c r="D35" s="25"/>
      <c r="E35" s="25"/>
      <c r="F35" s="63"/>
      <c r="G35" s="64"/>
      <c r="H35" s="22" t="s">
        <v>20</v>
      </c>
    </row>
    <row r="36" ht="15.0" customHeight="1">
      <c r="A36" s="67"/>
      <c r="B36" s="46" t="s">
        <v>33</v>
      </c>
      <c r="C36" s="46" t="s">
        <v>34</v>
      </c>
      <c r="D36" s="47" t="s">
        <v>35</v>
      </c>
      <c r="E36" s="47" t="s">
        <v>36</v>
      </c>
      <c r="F36" s="48">
        <v>1500.0</v>
      </c>
      <c r="G36" s="21">
        <v>1500.0</v>
      </c>
      <c r="H36" s="22" t="s">
        <v>20</v>
      </c>
    </row>
    <row r="37" ht="15.0" customHeight="1">
      <c r="A37" s="67"/>
      <c r="B37" s="23"/>
      <c r="C37" s="27"/>
      <c r="D37" s="25"/>
      <c r="E37" s="28"/>
      <c r="F37" s="27"/>
      <c r="G37" s="26"/>
      <c r="H37" s="22" t="s">
        <v>20</v>
      </c>
    </row>
    <row r="38" ht="15.0" customHeight="1">
      <c r="A38" s="61"/>
      <c r="B38" s="68" t="s">
        <v>48</v>
      </c>
      <c r="G38" s="69">
        <f>G33-sum(G35:G37)</f>
        <v>1500</v>
      </c>
      <c r="H38" s="60" t="s">
        <v>20</v>
      </c>
    </row>
    <row r="39" ht="15.0" customHeight="1">
      <c r="A39" s="70" t="s">
        <v>49</v>
      </c>
      <c r="G39" s="71"/>
      <c r="H39" s="71"/>
    </row>
    <row r="40" ht="15.0" customHeight="1">
      <c r="A40" s="72" t="s">
        <v>50</v>
      </c>
    </row>
    <row r="41" ht="15.0" customHeight="1">
      <c r="A41" s="73" t="s">
        <v>51</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sheetData>
  <mergeCells count="15">
    <mergeCell ref="A35:A37"/>
    <mergeCell ref="B38:F38"/>
    <mergeCell ref="A40:H40"/>
    <mergeCell ref="A41:H41"/>
    <mergeCell ref="A39:F39"/>
    <mergeCell ref="A29:H29"/>
    <mergeCell ref="A30:H30"/>
    <mergeCell ref="A31:H31"/>
    <mergeCell ref="A1:H1"/>
    <mergeCell ref="A7:H7"/>
    <mergeCell ref="A16:H16"/>
    <mergeCell ref="B23:F23"/>
    <mergeCell ref="B24:F24"/>
    <mergeCell ref="B25:F25"/>
    <mergeCell ref="B28:F28"/>
  </mergeCells>
  <conditionalFormatting sqref="G28">
    <cfRule type="cellIs" dxfId="0" priority="1" operator="lessThan">
      <formula>0</formula>
    </cfRule>
  </conditionalFormatting>
  <drawing r:id="rId2"/>
  <legacyDrawing r:id="rId3"/>
</worksheet>
</file>